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1_{B0EEB7E1-292C-4A91-AF9B-A0617C4C4E4C}" xr6:coauthVersionLast="47" xr6:coauthVersionMax="47" xr10:uidLastSave="{00000000-0000-0000-0000-000000000000}"/>
  <bookViews>
    <workbookView xWindow="34470" yWindow="-17500" windowWidth="23440" windowHeight="15400" activeTab="1" xr2:uid="{00000000-000D-0000-FFFF-FFFF00000000}"/>
  </bookViews>
  <sheets>
    <sheet name="Final model" sheetId="1" r:id="rId1"/>
    <sheet name="CV5,Nested OO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2" l="1"/>
  <c r="J27" i="2"/>
  <c r="I27" i="2"/>
  <c r="H27" i="2"/>
  <c r="G27" i="2"/>
  <c r="K20" i="2"/>
  <c r="J20" i="2"/>
  <c r="I20" i="2"/>
  <c r="H20" i="2"/>
  <c r="G20" i="2"/>
  <c r="K14" i="2"/>
  <c r="J14" i="2"/>
  <c r="I14" i="2"/>
  <c r="H14" i="2"/>
  <c r="G14" i="2"/>
  <c r="K7" i="2"/>
  <c r="J7" i="2"/>
  <c r="I7" i="2"/>
  <c r="H7" i="2"/>
  <c r="G7" i="2"/>
</calcChain>
</file>

<file path=xl/sharedStrings.xml><?xml version="1.0" encoding="utf-8"?>
<sst xmlns="http://schemas.openxmlformats.org/spreadsheetml/2006/main" count="113" uniqueCount="40">
  <si>
    <t>Validation set</t>
  </si>
  <si>
    <t>N</t>
  </si>
  <si>
    <t>Positive n</t>
  </si>
  <si>
    <t>Negative n</t>
  </si>
  <si>
    <t>Threshold</t>
  </si>
  <si>
    <t>AUC</t>
  </si>
  <si>
    <t>Accuracy</t>
  </si>
  <si>
    <t>Precision</t>
  </si>
  <si>
    <t>Recall</t>
  </si>
  <si>
    <t>F1</t>
  </si>
  <si>
    <t>TN</t>
  </si>
  <si>
    <t>FP</t>
  </si>
  <si>
    <t>FN</t>
  </si>
  <si>
    <t>TP</t>
  </si>
  <si>
    <t>Source ID</t>
  </si>
  <si>
    <t>Development</t>
  </si>
  <si>
    <t>External validation</t>
  </si>
  <si>
    <t>Evaluation</t>
  </si>
  <si>
    <t>Partition</t>
  </si>
  <si>
    <t>Fold</t>
  </si>
  <si>
    <t>CV5</t>
  </si>
  <si>
    <t>Validation</t>
  </si>
  <si>
    <t>S13</t>
  </si>
  <si>
    <t>Mean</t>
  </si>
  <si>
    <t>Pooled OOF</t>
  </si>
  <si>
    <t>Training</t>
  </si>
  <si>
    <t>S14</t>
  </si>
  <si>
    <t>Nested OOF</t>
  </si>
  <si>
    <t>S18</t>
  </si>
  <si>
    <t>S20</t>
  </si>
  <si>
    <t>S22</t>
  </si>
  <si>
    <t>S24</t>
  </si>
  <si>
    <t>S26</t>
  </si>
  <si>
    <t>Fold-specific</t>
  </si>
  <si>
    <t>S27</t>
  </si>
  <si>
    <t>S37</t>
  </si>
  <si>
    <t>S40</t>
  </si>
  <si>
    <t>S43</t>
  </si>
  <si>
    <t>S46</t>
  </si>
  <si>
    <t>S49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</si>
</sst>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>
    <font>
      <sz val="11"/>
      <name val="Carlito"/>
    </font>
    <font>
      <sz val="11"/>
      <color rgb="FF000000"/>
      <name val="Times New Roman"/>
      <family val="1"/>
    </font>
    <font>
      <sz val="11"/>
      <name val="Carlito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165" fontId="1" fillId="0" borderId="0" xfId="1" applyNumberFormat="1" applyFont="1" applyAlignment="1">
      <alignment horizontal="right" vertical="center"/>
    </xf>
    <xf numFmtId="0" fontId="1" fillId="0" borderId="1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>
      <pane ySplit="1" topLeftCell="A2" activePane="bottomLeft" state="frozen"/>
      <selection pane="bottomLeft" activeCell="K12" sqref="K12"/>
    </sheetView>
  </sheetViews>
  <sheetFormatPr defaultRowHeight="14"/>
  <cols>
    <col min="1" max="1" width="14.5" customWidth="1"/>
    <col min="2" max="2" width="3.4140625" customWidth="1"/>
    <col min="3" max="3" width="7.9140625" customWidth="1"/>
    <col min="4" max="4" width="8.5" customWidth="1"/>
    <col min="5" max="5" width="8" customWidth="1"/>
    <col min="6" max="6" width="5.6640625" customWidth="1"/>
    <col min="7" max="7" width="7.6640625" customWidth="1"/>
    <col min="8" max="8" width="7.4140625" customWidth="1"/>
    <col min="9" max="10" width="5.6640625" customWidth="1"/>
    <col min="11" max="11" width="3.4140625" customWidth="1"/>
    <col min="12" max="12" width="2.6640625" customWidth="1"/>
    <col min="13" max="13" width="2.9140625" customWidth="1"/>
    <col min="14" max="14" width="2.75" customWidth="1"/>
  </cols>
  <sheetData>
    <row r="1" spans="1:14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5" customHeight="1">
      <c r="A2" s="1" t="s">
        <v>15</v>
      </c>
      <c r="B2" s="2">
        <v>423</v>
      </c>
      <c r="C2" s="2">
        <v>158</v>
      </c>
      <c r="D2" s="2">
        <v>265</v>
      </c>
      <c r="E2" s="3">
        <v>0.4</v>
      </c>
      <c r="F2" s="3">
        <v>0.61207308335323618</v>
      </c>
      <c r="G2" s="3">
        <v>0.63120567375886527</v>
      </c>
      <c r="H2" s="3">
        <v>0.50657894736842102</v>
      </c>
      <c r="I2" s="3">
        <v>0.48734177215189872</v>
      </c>
      <c r="J2" s="3">
        <v>0.49677419354838709</v>
      </c>
      <c r="K2" s="2">
        <v>190</v>
      </c>
      <c r="L2" s="2">
        <v>75</v>
      </c>
      <c r="M2" s="2">
        <v>81</v>
      </c>
      <c r="N2" s="2">
        <v>77</v>
      </c>
    </row>
    <row r="3" spans="1:14" ht="15" customHeight="1">
      <c r="A3" s="1" t="s">
        <v>16</v>
      </c>
      <c r="B3" s="2">
        <v>125</v>
      </c>
      <c r="C3" s="2">
        <v>56</v>
      </c>
      <c r="D3" s="2">
        <v>69</v>
      </c>
      <c r="E3" s="3">
        <v>0.4</v>
      </c>
      <c r="F3" s="3">
        <v>0.76203416149068326</v>
      </c>
      <c r="G3" s="3">
        <v>0.74399999999999999</v>
      </c>
      <c r="H3" s="3">
        <v>0.7857142857142857</v>
      </c>
      <c r="I3" s="3">
        <v>0.5892857142857143</v>
      </c>
      <c r="J3" s="3">
        <v>0.67346938775510201</v>
      </c>
      <c r="K3" s="2">
        <v>60</v>
      </c>
      <c r="L3" s="2">
        <v>9</v>
      </c>
      <c r="M3" s="2">
        <v>23</v>
      </c>
      <c r="N3" s="2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tabSelected="1" workbookViewId="0">
      <pane ySplit="1" topLeftCell="A2" activePane="bottomLeft" state="frozen"/>
      <selection pane="bottomLeft" activeCell="T18" sqref="T18"/>
    </sheetView>
  </sheetViews>
  <sheetFormatPr defaultRowHeight="14"/>
  <cols>
    <col min="1" max="1" width="9.75" customWidth="1"/>
    <col min="2" max="2" width="8.1640625" customWidth="1"/>
    <col min="3" max="3" width="9.75" customWidth="1"/>
    <col min="4" max="4" width="3.4140625" customWidth="1"/>
    <col min="5" max="5" width="11.6640625" customWidth="1"/>
    <col min="6" max="6" width="10.58203125" customWidth="1"/>
    <col min="7" max="7" width="7.1640625" customWidth="1"/>
    <col min="8" max="8" width="8.83203125" customWidth="1"/>
    <col min="9" max="9" width="10.5" customWidth="1"/>
    <col min="10" max="10" width="9" customWidth="1"/>
    <col min="11" max="11" width="5.6640625" customWidth="1"/>
    <col min="12" max="15" width="3.4140625" customWidth="1"/>
    <col min="16" max="16" width="8" customWidth="1"/>
  </cols>
  <sheetData>
    <row r="1" spans="1:16" ht="15" customHeight="1">
      <c r="A1" s="5" t="s">
        <v>17</v>
      </c>
      <c r="B1" s="5" t="s">
        <v>18</v>
      </c>
      <c r="C1" s="5" t="s">
        <v>19</v>
      </c>
      <c r="D1" s="5" t="s">
        <v>1</v>
      </c>
      <c r="E1" s="5" t="s">
        <v>2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ht="15" customHeight="1">
      <c r="A2" s="1" t="s">
        <v>20</v>
      </c>
      <c r="B2" s="1" t="s">
        <v>21</v>
      </c>
      <c r="C2" s="1">
        <v>1</v>
      </c>
      <c r="D2" s="2">
        <v>86</v>
      </c>
      <c r="E2" s="2">
        <v>29</v>
      </c>
      <c r="F2" s="3">
        <v>0.4</v>
      </c>
      <c r="G2" s="3">
        <v>0.63127646702964302</v>
      </c>
      <c r="H2" s="3">
        <v>0.63953488372093026</v>
      </c>
      <c r="I2" s="3">
        <v>0.46153846153846156</v>
      </c>
      <c r="J2" s="3">
        <v>0.41379310344827586</v>
      </c>
      <c r="K2" s="3">
        <v>0.43636363636363634</v>
      </c>
      <c r="L2" s="2">
        <v>43</v>
      </c>
      <c r="M2" s="2">
        <v>14</v>
      </c>
      <c r="N2" s="2">
        <v>17</v>
      </c>
      <c r="O2" s="2">
        <v>12</v>
      </c>
      <c r="P2" s="1" t="s">
        <v>22</v>
      </c>
    </row>
    <row r="3" spans="1:16" ht="15" customHeight="1">
      <c r="A3" s="1" t="s">
        <v>20</v>
      </c>
      <c r="B3" s="1" t="s">
        <v>21</v>
      </c>
      <c r="C3" s="1">
        <v>2</v>
      </c>
      <c r="D3" s="2">
        <v>85</v>
      </c>
      <c r="E3" s="2">
        <v>37</v>
      </c>
      <c r="F3" s="3">
        <v>0.4</v>
      </c>
      <c r="G3" s="3">
        <v>0.62753378378378377</v>
      </c>
      <c r="H3" s="3">
        <v>0.62352941176470589</v>
      </c>
      <c r="I3" s="3">
        <v>0.56756756756756754</v>
      </c>
      <c r="J3" s="3">
        <v>0.56756756756756754</v>
      </c>
      <c r="K3" s="3">
        <v>0.56756756756756754</v>
      </c>
      <c r="L3" s="2">
        <v>32</v>
      </c>
      <c r="M3" s="2">
        <v>16</v>
      </c>
      <c r="N3" s="2">
        <v>16</v>
      </c>
      <c r="O3" s="2">
        <v>21</v>
      </c>
      <c r="P3" s="1" t="s">
        <v>22</v>
      </c>
    </row>
    <row r="4" spans="1:16" ht="15" customHeight="1">
      <c r="A4" s="1" t="s">
        <v>20</v>
      </c>
      <c r="B4" s="1" t="s">
        <v>21</v>
      </c>
      <c r="C4" s="1">
        <v>3</v>
      </c>
      <c r="D4" s="2">
        <v>87</v>
      </c>
      <c r="E4" s="2">
        <v>29</v>
      </c>
      <c r="F4" s="3">
        <v>0.4</v>
      </c>
      <c r="G4" s="3">
        <v>0.59750297265160524</v>
      </c>
      <c r="H4" s="3">
        <v>0.64367816091954022</v>
      </c>
      <c r="I4" s="3">
        <v>0.46875</v>
      </c>
      <c r="J4" s="3">
        <v>0.51724137931034486</v>
      </c>
      <c r="K4" s="3">
        <v>0.49180327868852458</v>
      </c>
      <c r="L4" s="2">
        <v>41</v>
      </c>
      <c r="M4" s="2">
        <v>17</v>
      </c>
      <c r="N4" s="2">
        <v>14</v>
      </c>
      <c r="O4" s="2">
        <v>15</v>
      </c>
      <c r="P4" s="1" t="s">
        <v>22</v>
      </c>
    </row>
    <row r="5" spans="1:16" ht="15" customHeight="1">
      <c r="A5" s="1" t="s">
        <v>20</v>
      </c>
      <c r="B5" s="1" t="s">
        <v>21</v>
      </c>
      <c r="C5" s="1">
        <v>4</v>
      </c>
      <c r="D5" s="2">
        <v>83</v>
      </c>
      <c r="E5" s="2">
        <v>29</v>
      </c>
      <c r="F5" s="3">
        <v>0.4</v>
      </c>
      <c r="G5" s="3">
        <v>0.6146232439335888</v>
      </c>
      <c r="H5" s="3">
        <v>0.63855421686746983</v>
      </c>
      <c r="I5" s="3">
        <v>0.4838709677419355</v>
      </c>
      <c r="J5" s="3">
        <v>0.51724137931034486</v>
      </c>
      <c r="K5" s="3">
        <v>0.5</v>
      </c>
      <c r="L5" s="2">
        <v>38</v>
      </c>
      <c r="M5" s="2">
        <v>16</v>
      </c>
      <c r="N5" s="2">
        <v>14</v>
      </c>
      <c r="O5" s="2">
        <v>15</v>
      </c>
      <c r="P5" s="1" t="s">
        <v>22</v>
      </c>
    </row>
    <row r="6" spans="1:16" ht="15" customHeight="1">
      <c r="A6" s="1" t="s">
        <v>20</v>
      </c>
      <c r="B6" s="1" t="s">
        <v>21</v>
      </c>
      <c r="C6" s="1">
        <v>5</v>
      </c>
      <c r="D6" s="2">
        <v>82</v>
      </c>
      <c r="E6" s="2">
        <v>34</v>
      </c>
      <c r="F6" s="3">
        <v>0.4</v>
      </c>
      <c r="G6" s="3">
        <v>0.56985294117647056</v>
      </c>
      <c r="H6" s="3">
        <v>0.6097560975609756</v>
      </c>
      <c r="I6" s="3">
        <v>0.53846153846153844</v>
      </c>
      <c r="J6" s="3">
        <v>0.41176470588235292</v>
      </c>
      <c r="K6" s="3">
        <v>0.46666666666666667</v>
      </c>
      <c r="L6" s="2">
        <v>36</v>
      </c>
      <c r="M6" s="2">
        <v>12</v>
      </c>
      <c r="N6" s="2">
        <v>20</v>
      </c>
      <c r="O6" s="2">
        <v>14</v>
      </c>
      <c r="P6" s="1" t="s">
        <v>22</v>
      </c>
    </row>
    <row r="7" spans="1:16" ht="15" customHeight="1">
      <c r="A7" s="1" t="s">
        <v>20</v>
      </c>
      <c r="B7" s="1" t="s">
        <v>21</v>
      </c>
      <c r="C7" s="1" t="s">
        <v>23</v>
      </c>
      <c r="D7" s="2"/>
      <c r="E7" s="2"/>
      <c r="F7" s="3"/>
      <c r="G7" s="3">
        <f>AVERAGE(G2:G6)</f>
        <v>0.60815788171501839</v>
      </c>
      <c r="H7" s="3">
        <f>AVERAGE(H2:H6)</f>
        <v>0.63101055416672436</v>
      </c>
      <c r="I7" s="3">
        <f>AVERAGE(I2:I6)</f>
        <v>0.50403770706190065</v>
      </c>
      <c r="J7" s="3">
        <f>AVERAGE(J2:J6)</f>
        <v>0.48552162710377711</v>
      </c>
      <c r="K7" s="3">
        <f>AVERAGE(K2:K6)</f>
        <v>0.49248022985727902</v>
      </c>
      <c r="L7" s="2"/>
      <c r="M7" s="2"/>
      <c r="N7" s="2"/>
      <c r="O7" s="2"/>
      <c r="P7" s="1"/>
    </row>
    <row r="8" spans="1:16" ht="15" customHeight="1">
      <c r="A8" s="1" t="s">
        <v>20</v>
      </c>
      <c r="B8" s="1" t="s">
        <v>21</v>
      </c>
      <c r="C8" s="1" t="s">
        <v>24</v>
      </c>
      <c r="D8" s="2">
        <v>423</v>
      </c>
      <c r="E8" s="2">
        <v>158</v>
      </c>
      <c r="F8" s="3">
        <v>0.4</v>
      </c>
      <c r="G8" s="3">
        <v>0.60290183902555528</v>
      </c>
      <c r="H8" s="3">
        <v>0.63120567375886527</v>
      </c>
      <c r="I8" s="3">
        <v>0.50657894736842102</v>
      </c>
      <c r="J8" s="3">
        <v>0.48734177215189872</v>
      </c>
      <c r="K8" s="3">
        <v>0.49677419354838709</v>
      </c>
      <c r="L8" s="2">
        <v>190</v>
      </c>
      <c r="M8" s="2">
        <v>75</v>
      </c>
      <c r="N8" s="2">
        <v>81</v>
      </c>
      <c r="O8" s="2">
        <v>77</v>
      </c>
      <c r="P8" s="1" t="s">
        <v>22</v>
      </c>
    </row>
    <row r="9" spans="1:16" ht="15" customHeight="1">
      <c r="A9" s="1" t="s">
        <v>20</v>
      </c>
      <c r="B9" s="1" t="s">
        <v>25</v>
      </c>
      <c r="C9" s="1">
        <v>1</v>
      </c>
      <c r="D9" s="2">
        <v>337</v>
      </c>
      <c r="E9" s="2">
        <v>129</v>
      </c>
      <c r="F9" s="3">
        <v>0.4</v>
      </c>
      <c r="G9" s="3">
        <v>0.60722271914132375</v>
      </c>
      <c r="H9" s="3">
        <v>0.62908011869436198</v>
      </c>
      <c r="I9" s="3">
        <v>0.51587301587301593</v>
      </c>
      <c r="J9" s="3">
        <v>0.50387596899224807</v>
      </c>
      <c r="K9" s="3">
        <v>0.50980392156862742</v>
      </c>
      <c r="L9" s="2">
        <v>147</v>
      </c>
      <c r="M9" s="2">
        <v>61</v>
      </c>
      <c r="N9" s="2">
        <v>64</v>
      </c>
      <c r="O9" s="2">
        <v>65</v>
      </c>
      <c r="P9" s="1" t="s">
        <v>26</v>
      </c>
    </row>
    <row r="10" spans="1:16" ht="15" customHeight="1">
      <c r="A10" s="1" t="s">
        <v>20</v>
      </c>
      <c r="B10" s="1" t="s">
        <v>25</v>
      </c>
      <c r="C10" s="1">
        <v>2</v>
      </c>
      <c r="D10" s="2">
        <v>338</v>
      </c>
      <c r="E10" s="2">
        <v>121</v>
      </c>
      <c r="F10" s="3">
        <v>0.4</v>
      </c>
      <c r="G10" s="3">
        <v>0.60469589061964424</v>
      </c>
      <c r="H10" s="3">
        <v>0.63313609467455623</v>
      </c>
      <c r="I10" s="3">
        <v>0.48695652173913045</v>
      </c>
      <c r="J10" s="3">
        <v>0.46280991735537191</v>
      </c>
      <c r="K10" s="3">
        <v>0.47457627118644069</v>
      </c>
      <c r="L10" s="2">
        <v>158</v>
      </c>
      <c r="M10" s="2">
        <v>59</v>
      </c>
      <c r="N10" s="2">
        <v>65</v>
      </c>
      <c r="O10" s="2">
        <v>56</v>
      </c>
      <c r="P10" s="1" t="s">
        <v>26</v>
      </c>
    </row>
    <row r="11" spans="1:16" ht="15" customHeight="1">
      <c r="A11" s="1" t="s">
        <v>20</v>
      </c>
      <c r="B11" s="1" t="s">
        <v>25</v>
      </c>
      <c r="C11" s="1">
        <v>3</v>
      </c>
      <c r="D11" s="2">
        <v>336</v>
      </c>
      <c r="E11" s="2">
        <v>129</v>
      </c>
      <c r="F11" s="3">
        <v>0.4</v>
      </c>
      <c r="G11" s="3">
        <v>0.61451896790622773</v>
      </c>
      <c r="H11" s="3">
        <v>0.62797619047619047</v>
      </c>
      <c r="I11" s="3">
        <v>0.51666666666666672</v>
      </c>
      <c r="J11" s="3">
        <v>0.48062015503875971</v>
      </c>
      <c r="K11" s="3">
        <v>0.49799196787148592</v>
      </c>
      <c r="L11" s="2">
        <v>149</v>
      </c>
      <c r="M11" s="2">
        <v>58</v>
      </c>
      <c r="N11" s="2">
        <v>67</v>
      </c>
      <c r="O11" s="2">
        <v>62</v>
      </c>
      <c r="P11" s="1" t="s">
        <v>26</v>
      </c>
    </row>
    <row r="12" spans="1:16" ht="15" customHeight="1">
      <c r="A12" s="1" t="s">
        <v>20</v>
      </c>
      <c r="B12" s="1" t="s">
        <v>25</v>
      </c>
      <c r="C12" s="1">
        <v>4</v>
      </c>
      <c r="D12" s="2">
        <v>340</v>
      </c>
      <c r="E12" s="2">
        <v>129</v>
      </c>
      <c r="F12" s="3">
        <v>0.4</v>
      </c>
      <c r="G12" s="3">
        <v>0.61247657886035489</v>
      </c>
      <c r="H12" s="3">
        <v>0.62941176470588234</v>
      </c>
      <c r="I12" s="3">
        <v>0.51239669421487599</v>
      </c>
      <c r="J12" s="3">
        <v>0.48062015503875971</v>
      </c>
      <c r="K12" s="3">
        <v>0.496</v>
      </c>
      <c r="L12" s="2">
        <v>152</v>
      </c>
      <c r="M12" s="2">
        <v>59</v>
      </c>
      <c r="N12" s="2">
        <v>67</v>
      </c>
      <c r="O12" s="2">
        <v>62</v>
      </c>
      <c r="P12" s="1" t="s">
        <v>26</v>
      </c>
    </row>
    <row r="13" spans="1:16" ht="15" customHeight="1">
      <c r="A13" s="1" t="s">
        <v>20</v>
      </c>
      <c r="B13" s="1" t="s">
        <v>25</v>
      </c>
      <c r="C13" s="1">
        <v>5</v>
      </c>
      <c r="D13" s="2">
        <v>341</v>
      </c>
      <c r="E13" s="2">
        <v>124</v>
      </c>
      <c r="F13" s="3">
        <v>0.4</v>
      </c>
      <c r="G13" s="3">
        <v>0.62015014122194145</v>
      </c>
      <c r="H13" s="3">
        <v>0.63636363636363635</v>
      </c>
      <c r="I13" s="3">
        <v>0.5</v>
      </c>
      <c r="J13" s="3">
        <v>0.50806451612903225</v>
      </c>
      <c r="K13" s="3">
        <v>0.504</v>
      </c>
      <c r="L13" s="2">
        <v>154</v>
      </c>
      <c r="M13" s="2">
        <v>63</v>
      </c>
      <c r="N13" s="2">
        <v>61</v>
      </c>
      <c r="O13" s="2">
        <v>63</v>
      </c>
      <c r="P13" s="1" t="s">
        <v>26</v>
      </c>
    </row>
    <row r="14" spans="1:16" ht="15" customHeight="1">
      <c r="A14" s="1" t="s">
        <v>20</v>
      </c>
      <c r="B14" s="1" t="s">
        <v>25</v>
      </c>
      <c r="C14" s="1" t="s">
        <v>23</v>
      </c>
      <c r="D14" s="2"/>
      <c r="E14" s="2"/>
      <c r="F14" s="3"/>
      <c r="G14" s="3">
        <f>AVERAGE(G9:G13)</f>
        <v>0.61181285954989839</v>
      </c>
      <c r="H14" s="3">
        <f>AVERAGE(H9:H13)</f>
        <v>0.63119356098292545</v>
      </c>
      <c r="I14" s="3">
        <f>AVERAGE(I9:I13)</f>
        <v>0.5063785796987379</v>
      </c>
      <c r="J14" s="3">
        <f>AVERAGE(J9:J13)</f>
        <v>0.48719814251083432</v>
      </c>
      <c r="K14" s="3">
        <f>AVERAGE(K9:K13)</f>
        <v>0.49647443212531084</v>
      </c>
      <c r="L14" s="2"/>
      <c r="M14" s="2"/>
      <c r="N14" s="2"/>
      <c r="O14" s="2"/>
      <c r="P14" s="1"/>
    </row>
    <row r="15" spans="1:16" ht="15" customHeight="1">
      <c r="A15" s="1" t="s">
        <v>27</v>
      </c>
      <c r="B15" s="1" t="s">
        <v>21</v>
      </c>
      <c r="C15" s="1">
        <v>1</v>
      </c>
      <c r="D15" s="2">
        <v>86</v>
      </c>
      <c r="E15" s="2">
        <v>29</v>
      </c>
      <c r="F15" s="3">
        <v>0.45</v>
      </c>
      <c r="G15" s="3">
        <v>0.63127646702964302</v>
      </c>
      <c r="H15" s="3">
        <v>0.66279069767441856</v>
      </c>
      <c r="I15" s="3">
        <v>0.5</v>
      </c>
      <c r="J15" s="3">
        <v>0.2413793103448276</v>
      </c>
      <c r="K15" s="3">
        <v>0.32558139534883723</v>
      </c>
      <c r="L15" s="2">
        <v>50</v>
      </c>
      <c r="M15" s="2">
        <v>7</v>
      </c>
      <c r="N15" s="2">
        <v>22</v>
      </c>
      <c r="O15" s="2">
        <v>7</v>
      </c>
      <c r="P15" s="1" t="s">
        <v>28</v>
      </c>
    </row>
    <row r="16" spans="1:16" ht="15" customHeight="1">
      <c r="A16" s="1" t="s">
        <v>27</v>
      </c>
      <c r="B16" s="1" t="s">
        <v>21</v>
      </c>
      <c r="C16" s="1">
        <v>2</v>
      </c>
      <c r="D16" s="2">
        <v>85</v>
      </c>
      <c r="E16" s="2">
        <v>37</v>
      </c>
      <c r="F16" s="3">
        <v>0.3</v>
      </c>
      <c r="G16" s="3">
        <v>0.62753378378378377</v>
      </c>
      <c r="H16" s="3">
        <v>0.57647058823529407</v>
      </c>
      <c r="I16" s="3">
        <v>0.50819672131147542</v>
      </c>
      <c r="J16" s="3">
        <v>0.83783783783783783</v>
      </c>
      <c r="K16" s="3">
        <v>0.63265306122448983</v>
      </c>
      <c r="L16" s="2">
        <v>18</v>
      </c>
      <c r="M16" s="2">
        <v>30</v>
      </c>
      <c r="N16" s="2">
        <v>6</v>
      </c>
      <c r="O16" s="2">
        <v>31</v>
      </c>
      <c r="P16" s="1" t="s">
        <v>29</v>
      </c>
    </row>
    <row r="17" spans="1:16" ht="15" customHeight="1">
      <c r="A17" s="1" t="s">
        <v>27</v>
      </c>
      <c r="B17" s="1" t="s">
        <v>21</v>
      </c>
      <c r="C17" s="1">
        <v>3</v>
      </c>
      <c r="D17" s="2">
        <v>87</v>
      </c>
      <c r="E17" s="2">
        <v>29</v>
      </c>
      <c r="F17" s="3">
        <v>0.35</v>
      </c>
      <c r="G17" s="3">
        <v>0.59750297265160524</v>
      </c>
      <c r="H17" s="3">
        <v>0.45977011494252873</v>
      </c>
      <c r="I17" s="3">
        <v>0.3392857142857143</v>
      </c>
      <c r="J17" s="3">
        <v>0.65517241379310343</v>
      </c>
      <c r="K17" s="3">
        <v>0.44705882352941179</v>
      </c>
      <c r="L17" s="2">
        <v>21</v>
      </c>
      <c r="M17" s="2">
        <v>37</v>
      </c>
      <c r="N17" s="2">
        <v>10</v>
      </c>
      <c r="O17" s="2">
        <v>19</v>
      </c>
      <c r="P17" s="1" t="s">
        <v>30</v>
      </c>
    </row>
    <row r="18" spans="1:16" ht="15" customHeight="1">
      <c r="A18" s="1" t="s">
        <v>27</v>
      </c>
      <c r="B18" s="1" t="s">
        <v>21</v>
      </c>
      <c r="C18" s="1">
        <v>4</v>
      </c>
      <c r="D18" s="2">
        <v>83</v>
      </c>
      <c r="E18" s="2">
        <v>29</v>
      </c>
      <c r="F18" s="3">
        <v>0.45</v>
      </c>
      <c r="G18" s="3">
        <v>0.6146232439335888</v>
      </c>
      <c r="H18" s="3">
        <v>0.66265060240963858</v>
      </c>
      <c r="I18" s="3">
        <v>0.52</v>
      </c>
      <c r="J18" s="3">
        <v>0.44827586206896552</v>
      </c>
      <c r="K18" s="3">
        <v>0.48148148148148145</v>
      </c>
      <c r="L18" s="2">
        <v>42</v>
      </c>
      <c r="M18" s="2">
        <v>12</v>
      </c>
      <c r="N18" s="2">
        <v>16</v>
      </c>
      <c r="O18" s="2">
        <v>13</v>
      </c>
      <c r="P18" s="1" t="s">
        <v>31</v>
      </c>
    </row>
    <row r="19" spans="1:16" ht="15" customHeight="1">
      <c r="A19" s="1" t="s">
        <v>27</v>
      </c>
      <c r="B19" s="1" t="s">
        <v>21</v>
      </c>
      <c r="C19" s="1">
        <v>5</v>
      </c>
      <c r="D19" s="2">
        <v>82</v>
      </c>
      <c r="E19" s="2">
        <v>34</v>
      </c>
      <c r="F19" s="3">
        <v>0.45</v>
      </c>
      <c r="G19" s="3">
        <v>0.56985294117647056</v>
      </c>
      <c r="H19" s="3">
        <v>0.53658536585365857</v>
      </c>
      <c r="I19" s="3">
        <v>0.3</v>
      </c>
      <c r="J19" s="3">
        <v>8.8235294117647065E-2</v>
      </c>
      <c r="K19" s="3">
        <v>0.13636363636363635</v>
      </c>
      <c r="L19" s="2">
        <v>41</v>
      </c>
      <c r="M19" s="2">
        <v>7</v>
      </c>
      <c r="N19" s="2">
        <v>31</v>
      </c>
      <c r="O19" s="2">
        <v>3</v>
      </c>
      <c r="P19" s="1" t="s">
        <v>32</v>
      </c>
    </row>
    <row r="20" spans="1:16" ht="15" customHeight="1">
      <c r="A20" s="1" t="s">
        <v>27</v>
      </c>
      <c r="B20" s="1" t="s">
        <v>21</v>
      </c>
      <c r="C20" s="1" t="s">
        <v>23</v>
      </c>
      <c r="D20" s="2"/>
      <c r="E20" s="2"/>
      <c r="F20" s="3"/>
      <c r="G20" s="3">
        <f>AVERAGE(G15:G19)</f>
        <v>0.60815788171501839</v>
      </c>
      <c r="H20" s="3">
        <f>AVERAGE(H15:H19)</f>
        <v>0.57965347382310761</v>
      </c>
      <c r="I20" s="3">
        <f>AVERAGE(I15:I19)</f>
        <v>0.43349648711943789</v>
      </c>
      <c r="J20" s="3">
        <f>AVERAGE(J15:J19)</f>
        <v>0.45418014363247633</v>
      </c>
      <c r="K20" s="3">
        <f>AVERAGE(K15:K19)</f>
        <v>0.40462767958957135</v>
      </c>
      <c r="L20" s="2"/>
      <c r="M20" s="2"/>
      <c r="N20" s="2"/>
      <c r="O20" s="2"/>
      <c r="P20" s="1"/>
    </row>
    <row r="21" spans="1:16" ht="15" customHeight="1">
      <c r="A21" s="1" t="s">
        <v>27</v>
      </c>
      <c r="B21" s="1" t="s">
        <v>21</v>
      </c>
      <c r="C21" s="1" t="s">
        <v>24</v>
      </c>
      <c r="D21" s="2">
        <v>423</v>
      </c>
      <c r="E21" s="2">
        <v>158</v>
      </c>
      <c r="F21" s="3" t="s">
        <v>33</v>
      </c>
      <c r="G21" s="3">
        <v>0.60060902794363502</v>
      </c>
      <c r="H21" s="3">
        <v>0.57919621749408978</v>
      </c>
      <c r="I21" s="3">
        <v>0.43975903614457829</v>
      </c>
      <c r="J21" s="3">
        <v>0.46202531645569622</v>
      </c>
      <c r="K21" s="3">
        <v>0.45061728395061729</v>
      </c>
      <c r="L21" s="2">
        <v>172</v>
      </c>
      <c r="M21" s="2">
        <v>93</v>
      </c>
      <c r="N21" s="2">
        <v>85</v>
      </c>
      <c r="O21" s="2">
        <v>73</v>
      </c>
      <c r="P21" s="1" t="s">
        <v>34</v>
      </c>
    </row>
    <row r="22" spans="1:16" ht="15" customHeight="1">
      <c r="A22" s="1" t="s">
        <v>27</v>
      </c>
      <c r="B22" s="1" t="s">
        <v>25</v>
      </c>
      <c r="C22" s="1">
        <v>1</v>
      </c>
      <c r="D22" s="2">
        <v>337</v>
      </c>
      <c r="E22" s="2">
        <v>129</v>
      </c>
      <c r="F22" s="3">
        <v>0.45</v>
      </c>
      <c r="G22" s="3">
        <v>0.60722271914132375</v>
      </c>
      <c r="H22" s="3">
        <v>0.59940652818991103</v>
      </c>
      <c r="I22" s="3">
        <v>0.44444444444444442</v>
      </c>
      <c r="J22" s="3">
        <v>0.18604651162790697</v>
      </c>
      <c r="K22" s="3">
        <v>0.26229508196721313</v>
      </c>
      <c r="L22" s="2">
        <v>178</v>
      </c>
      <c r="M22" s="2">
        <v>30</v>
      </c>
      <c r="N22" s="2">
        <v>105</v>
      </c>
      <c r="O22" s="2">
        <v>24</v>
      </c>
      <c r="P22" s="1" t="s">
        <v>35</v>
      </c>
    </row>
    <row r="23" spans="1:16" ht="15" customHeight="1">
      <c r="A23" s="1" t="s">
        <v>27</v>
      </c>
      <c r="B23" s="1" t="s">
        <v>25</v>
      </c>
      <c r="C23" s="1">
        <v>2</v>
      </c>
      <c r="D23" s="2">
        <v>338</v>
      </c>
      <c r="E23" s="2">
        <v>121</v>
      </c>
      <c r="F23" s="3">
        <v>0.3</v>
      </c>
      <c r="G23" s="3">
        <v>0.60469589061964424</v>
      </c>
      <c r="H23" s="3">
        <v>0.55029585798816572</v>
      </c>
      <c r="I23" s="3">
        <v>0.43459915611814348</v>
      </c>
      <c r="J23" s="3">
        <v>0.85123966942148765</v>
      </c>
      <c r="K23" s="3">
        <v>0.57541899441340782</v>
      </c>
      <c r="L23" s="2">
        <v>83</v>
      </c>
      <c r="M23" s="2">
        <v>134</v>
      </c>
      <c r="N23" s="2">
        <v>18</v>
      </c>
      <c r="O23" s="2">
        <v>103</v>
      </c>
      <c r="P23" s="1" t="s">
        <v>36</v>
      </c>
    </row>
    <row r="24" spans="1:16" ht="15" customHeight="1">
      <c r="A24" s="1" t="s">
        <v>27</v>
      </c>
      <c r="B24" s="1" t="s">
        <v>25</v>
      </c>
      <c r="C24" s="1">
        <v>3</v>
      </c>
      <c r="D24" s="2">
        <v>336</v>
      </c>
      <c r="E24" s="2">
        <v>129</v>
      </c>
      <c r="F24" s="3">
        <v>0.35</v>
      </c>
      <c r="G24" s="3">
        <v>0.61451896790622773</v>
      </c>
      <c r="H24" s="3">
        <v>0.53273809523809523</v>
      </c>
      <c r="I24" s="3">
        <v>0.4375</v>
      </c>
      <c r="J24" s="3">
        <v>0.75968992248062017</v>
      </c>
      <c r="K24" s="3">
        <v>0.55524079320113318</v>
      </c>
      <c r="L24" s="2">
        <v>81</v>
      </c>
      <c r="M24" s="2">
        <v>126</v>
      </c>
      <c r="N24" s="2">
        <v>31</v>
      </c>
      <c r="O24" s="2">
        <v>98</v>
      </c>
      <c r="P24" s="1" t="s">
        <v>37</v>
      </c>
    </row>
    <row r="25" spans="1:16" ht="15" customHeight="1">
      <c r="A25" s="1" t="s">
        <v>27</v>
      </c>
      <c r="B25" s="1" t="s">
        <v>25</v>
      </c>
      <c r="C25" s="1">
        <v>4</v>
      </c>
      <c r="D25" s="2">
        <v>340</v>
      </c>
      <c r="E25" s="2">
        <v>129</v>
      </c>
      <c r="F25" s="3">
        <v>0.45</v>
      </c>
      <c r="G25" s="3">
        <v>0.61247657886035489</v>
      </c>
      <c r="H25" s="3">
        <v>0.64411764705882357</v>
      </c>
      <c r="I25" s="3">
        <v>0.54651162790697672</v>
      </c>
      <c r="J25" s="3">
        <v>0.36434108527131781</v>
      </c>
      <c r="K25" s="3">
        <v>0.43720930232558142</v>
      </c>
      <c r="L25" s="2">
        <v>172</v>
      </c>
      <c r="M25" s="2">
        <v>39</v>
      </c>
      <c r="N25" s="2">
        <v>82</v>
      </c>
      <c r="O25" s="2">
        <v>47</v>
      </c>
      <c r="P25" s="1" t="s">
        <v>38</v>
      </c>
    </row>
    <row r="26" spans="1:16" ht="15" customHeight="1">
      <c r="A26" s="1" t="s">
        <v>27</v>
      </c>
      <c r="B26" s="1" t="s">
        <v>25</v>
      </c>
      <c r="C26" s="1">
        <v>5</v>
      </c>
      <c r="D26" s="2">
        <v>341</v>
      </c>
      <c r="E26" s="2">
        <v>124</v>
      </c>
      <c r="F26" s="3">
        <v>0.45</v>
      </c>
      <c r="G26" s="3">
        <v>0.62015014122194145</v>
      </c>
      <c r="H26" s="3">
        <v>0.63049853372434017</v>
      </c>
      <c r="I26" s="3">
        <v>0.48275862068965519</v>
      </c>
      <c r="J26" s="3">
        <v>0.22580645161290322</v>
      </c>
      <c r="K26" s="3">
        <v>0.30769230769230771</v>
      </c>
      <c r="L26" s="2">
        <v>187</v>
      </c>
      <c r="M26" s="2">
        <v>30</v>
      </c>
      <c r="N26" s="2">
        <v>96</v>
      </c>
      <c r="O26" s="2">
        <v>28</v>
      </c>
      <c r="P26" s="1" t="s">
        <v>39</v>
      </c>
    </row>
    <row r="27" spans="1:16" ht="15" customHeight="1">
      <c r="A27" s="1" t="s">
        <v>27</v>
      </c>
      <c r="B27" s="1" t="s">
        <v>25</v>
      </c>
      <c r="C27" s="1" t="s">
        <v>23</v>
      </c>
      <c r="D27" s="2"/>
      <c r="E27" s="2"/>
      <c r="F27" s="3"/>
      <c r="G27" s="3">
        <f>AVERAGE(G22:G26)</f>
        <v>0.61181285954989839</v>
      </c>
      <c r="H27" s="3">
        <f>AVERAGE(H22:H26)</f>
        <v>0.5914113324398671</v>
      </c>
      <c r="I27" s="3">
        <f>AVERAGE(I22:I26)</f>
        <v>0.46916276983184402</v>
      </c>
      <c r="J27" s="3">
        <f>AVERAGE(J22:J26)</f>
        <v>0.47742472808284708</v>
      </c>
      <c r="K27" s="3">
        <f>AVERAGE(K22:K26)</f>
        <v>0.42757129591992865</v>
      </c>
      <c r="L27" s="2"/>
      <c r="M27" s="2"/>
      <c r="N27" s="2"/>
      <c r="O27" s="2"/>
      <c r="P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Final model</vt:lpstr>
      <vt:lpstr>CV5,Nested OOF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ChenJi-yang</cp:lastModifiedBy>
  <dcterms:modified xsi:type="dcterms:W3CDTF">2026-09-28T09:42:05Z</dcterms:modified>
</cp:coreProperties>
</file>